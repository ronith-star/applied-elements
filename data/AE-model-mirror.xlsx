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heetId="1" r:id="rId1"/>
    <sheet name="Reconciliation" sheetId="2" r:id="rId2"/>
    <sheet name="Scenario grid" sheetId="3" r:id="rId3"/>
    <sheet name="Provenance" sheetId="4" r:id="rId4"/>
  </sheets>
  <calcPr calcId="124519" fullCalcOnLoad="1"/>
</workbook>
</file>

<file path=xl/sharedStrings.xml><?xml version="1.0" encoding="utf-8"?>
<sst xmlns="http://schemas.openxmlformats.org/spreadsheetml/2006/main" count="148" uniqueCount="124">
  <si>
    <t>Applied Elements: HPQ purification unit economics</t>
  </si>
  <si>
    <t>Amber cells are INPUTS. Everything else is a live Excel formula, so changing an ore or site selector recomputes the sheet. No calculated cell contains a pasted Python result.</t>
  </si>
  <si>
    <t>SELECTORS</t>
  </si>
  <si>
    <t>Ore</t>
  </si>
  <si>
    <t>Ore A, vein quartz, low Al</t>
  </si>
  <si>
    <t>Sets Al level, lot variability and stage yields</t>
  </si>
  <si>
    <t>Site</t>
  </si>
  <si>
    <t>Site 1, India, Telangana</t>
  </si>
  <si>
    <t>Sets power, reagent, labour and freight prices</t>
  </si>
  <si>
    <t>ORE TABLE (lookup source)</t>
  </si>
  <si>
    <t>name</t>
  </si>
  <si>
    <t>Al mean ppm</t>
  </si>
  <si>
    <t>Al lot sigma ppm</t>
  </si>
  <si>
    <t>flotation yield</t>
  </si>
  <si>
    <t>leach yield</t>
  </si>
  <si>
    <t>Ore B, pegmatite, moderate Al</t>
  </si>
  <si>
    <t>Ore C, high variability</t>
  </si>
  <si>
    <t>SITE TABLE (lookup source)</t>
  </si>
  <si>
    <t>power USD/kWh</t>
  </si>
  <si>
    <t>reagent USD/kg</t>
  </si>
  <si>
    <t>labour USD/h</t>
  </si>
  <si>
    <t>freight USD/t</t>
  </si>
  <si>
    <t>Site 2, US, low-cost power</t>
  </si>
  <si>
    <t>Site 3, US, average power</t>
  </si>
  <si>
    <t>RESOLVED DRIVERS (from selectors)</t>
  </si>
  <si>
    <t>Al mean, ppm</t>
  </si>
  <si>
    <t>Al lot sigma, ppm</t>
  </si>
  <si>
    <t>Flotation mass yield</t>
  </si>
  <si>
    <t>Leach mass yield</t>
  </si>
  <si>
    <t>Power price, USD/kWh</t>
  </si>
  <si>
    <t>Reagent price, USD/kg</t>
  </si>
  <si>
    <t>Labour, USD/h</t>
  </si>
  <si>
    <t>Freight, USD/t</t>
  </si>
  <si>
    <t>FIXED ASSUMPTIONS</t>
  </si>
  <si>
    <t>Al upper spec limit, ppm</t>
  </si>
  <si>
    <t>Feed, t/yr</t>
  </si>
  <si>
    <t>Product price, USD/t</t>
  </si>
  <si>
    <t>Power, kWh per t feed</t>
  </si>
  <si>
    <t>Reagent, kg per t feed</t>
  </si>
  <si>
    <t>Operators</t>
  </si>
  <si>
    <t>Operator hours per year</t>
  </si>
  <si>
    <t>Maintenance, fraction of capex/yr</t>
  </si>
  <si>
    <t>Overhead, USD/yr</t>
  </si>
  <si>
    <t>Capex, MUSD</t>
  </si>
  <si>
    <t>Discount rate</t>
  </si>
  <si>
    <t>Life, years</t>
  </si>
  <si>
    <t>Tax rate</t>
  </si>
  <si>
    <t>CALCULATED (live formulas)</t>
  </si>
  <si>
    <t>Mass yield, cascade</t>
  </si>
  <si>
    <t>Stage yields multiply. Two 90 percent stages give 81 percent, not 90.</t>
  </si>
  <si>
    <t>Off-spec fraction (lognormal)</t>
  </si>
  <si>
    <t>Lognormal, not normal: impurity distributions are right-skewed and a normal understates the tail that fails lots.</t>
  </si>
  <si>
    <t>Spec yield</t>
  </si>
  <si>
    <t>Overall yield</t>
  </si>
  <si>
    <t>Mass yield times spec yield.</t>
  </si>
  <si>
    <t>Product, t/yr</t>
  </si>
  <si>
    <t>Saleable tonnes after both mass loss and spec failure.</t>
  </si>
  <si>
    <t>Variable cost, USD/yr</t>
  </si>
  <si>
    <t>Incurred on FEED, which is why a spec failure raises unit cost twice: less product, same cost base.</t>
  </si>
  <si>
    <t>Labour, USD/yr</t>
  </si>
  <si>
    <t>A CREW, not a per-tonne rate: a plant does not shed operators when yield drops, so labour is fixed.</t>
  </si>
  <si>
    <t>Maintenance, USD/yr</t>
  </si>
  <si>
    <t>Fixed cost, USD/yr</t>
  </si>
  <si>
    <t>Labour, maintenance and overhead. Omitting these gave a 157.77 USD/t cash cost against the corrected 795.02, a factor of 5.0, and made every scenario look profitable.</t>
  </si>
  <si>
    <t>Freight, USD/yr</t>
  </si>
  <si>
    <t>Cash cost, USD/t product</t>
  </si>
  <si>
    <t>Revenue, USD/yr</t>
  </si>
  <si>
    <t>EBITDA, USD/yr</t>
  </si>
  <si>
    <t>Depreciation, USD/yr</t>
  </si>
  <si>
    <t>Straight line over the project life.</t>
  </si>
  <si>
    <t>Taxable income, USD/yr</t>
  </si>
  <si>
    <t>Tax, USD/yr</t>
  </si>
  <si>
    <t>MAX(0,...) because a loss does not generate a cash refund here.</t>
  </si>
  <si>
    <t>Net cash flow, USD/yr</t>
  </si>
  <si>
    <t>NPV, MUSD</t>
  </si>
  <si>
    <t>Capex at t=0, then a level annuity discounted over the life.</t>
  </si>
  <si>
    <t>IRR</t>
  </si>
  <si>
    <t>RATE solves the same level-annuity cash flow as the NPV row.</t>
  </si>
  <si>
    <t>Breakeven price, USD/t</t>
  </si>
  <si>
    <t>Cash cost plus the annualised capital charge per tonne, grossed up for tax.</t>
  </si>
  <si>
    <t>Reconciliation: Excel formulas against the Python model</t>
  </si>
  <si>
    <t>Column B is computed by this workbook's own formulas. Column C is the Python model's value for the SAME scenario, written at build time. Column D is the relative difference. A nonzero D means the workbook and the model have diverged, which is the condition this sheet exists to expose.</t>
  </si>
  <si>
    <t>quantity</t>
  </si>
  <si>
    <t>workbook formula</t>
  </si>
  <si>
    <t>Python model</t>
  </si>
  <si>
    <t>relative difference</t>
  </si>
  <si>
    <t>note</t>
  </si>
  <si>
    <t>Mass yield</t>
  </si>
  <si>
    <t>Off-spec fraction</t>
  </si>
  <si>
    <t>Cash cost, USD/t</t>
  </si>
  <si>
    <t>Worst relative difference</t>
  </si>
  <si>
    <t>Status</t>
  </si>
  <si>
    <t>NPV, IRR and breakeven are NOT reconciled here, and that is deliberate rather than an omission: the workbook computes them on a level annuity, while the Python model discounts an explicit per-period cash flow array with construction timing, ramp fractions and working capital. Those are different models, so forcing them to agree would mean degrading one. The workbook is for interrogating unit economics; the Python model is authoritative for valuation.</t>
  </si>
  <si>
    <t>All ore and site combinations (Python model values)</t>
  </si>
  <si>
    <t>IMPORTED RESULTS, not live formulas: each row is the Python model evaluated at build time. The Model sheet is the live one. Reported so a reader can see the spread without switching selectors nine times.</t>
  </si>
  <si>
    <t>ore</t>
  </si>
  <si>
    <t>site</t>
  </si>
  <si>
    <t>mass yield</t>
  </si>
  <si>
    <t>off-spec</t>
  </si>
  <si>
    <t>overall yield</t>
  </si>
  <si>
    <t>product t/yr</t>
  </si>
  <si>
    <t>cash cost USD/t</t>
  </si>
  <si>
    <t>NPV MUSD</t>
  </si>
  <si>
    <t>LCOP USD/t</t>
  </si>
  <si>
    <t>breakeven USD/t</t>
  </si>
  <si>
    <t>Where these numbers come from</t>
  </si>
  <si>
    <t>Built by</t>
  </si>
  <si>
    <t>scripts/build_workbook.py in the applied-elements repo</t>
  </si>
  <si>
    <t>Authoritative model</t>
  </si>
  <si>
    <t>the Python package; this workbook mirrors it</t>
  </si>
  <si>
    <t>Ore rows</t>
  </si>
  <si>
    <t>SCENARIO INPUTS, not measurements. No ore from the Vikarabad lease has been characterized, so no row here represents an assayed feedstock.</t>
  </si>
  <si>
    <t>Al spec limit</t>
  </si>
  <si>
    <t>30 ppm, the HPQ-grade limit used throughout the platform</t>
  </si>
  <si>
    <t>Site power prices</t>
  </si>
  <si>
    <t>Telangana 33 kV HT-I(A) tariff and EIA Electric Power Monthly Table 5.6.B state averages</t>
  </si>
  <si>
    <t>Freight</t>
  </si>
  <si>
    <t>observed India-to-US CIF minus FOB on HS 250610, USD 76 to 115 per tonne</t>
  </si>
  <si>
    <t>Capex</t>
  </si>
  <si>
    <t>AACE Class 5, minus 50 to plus 100 percent. A factored estimate from an equipment list with no flowsheet engineering cannot claim better.</t>
  </si>
  <si>
    <t>Not in this workbook</t>
  </si>
  <si>
    <t>Monte Carlo and Sobol. Those need 10,000 draws and a variance decomposition, which is not honestly expressible in formulas.</t>
  </si>
  <si>
    <t>Parameter registry</t>
  </si>
  <si>
    <t>data/registry/parameter_registry.csv lists every tracked parameter with its tag, source and uncertainty</t>
  </si>
</sst>
</file>

<file path=xl/styles.xml><?xml version="1.0" encoding="utf-8"?>
<styleSheet xmlns="http://schemas.openxmlformats.org/spreadsheetml/2006/main">
  <numFmts count="5">
    <numFmt numFmtId="164" formatCode="0.0000"/>
    <numFmt numFmtId="165" formatCode="#,##0"/>
    <numFmt numFmtId="166" formatCode="#,##0.0"/>
    <numFmt numFmtId="167" formatCode="0.0%"/>
    <numFmt numFmtId="168" formatCode="0.00E+00"/>
  </numFmts>
  <fonts count="5">
    <font>
      <sz val="11"/>
      <color theme="1"/>
      <name val="Calibri"/>
      <family val="2"/>
      <scheme val="minor"/>
    </font>
    <font>
      <b/>
      <sz val="13"/>
      <color rgb="FF1A1D21"/>
      <name val="Calibri"/>
      <family val="2"/>
      <scheme val="minor"/>
    </font>
    <font>
      <i/>
      <sz val="9"/>
      <color rgb="FF5A6169"/>
      <name val="Calibri"/>
      <family val="2"/>
      <scheme val="minor"/>
    </font>
    <font>
      <b/>
      <sz val="11"/>
      <color theme="1"/>
      <name val="Calibri"/>
      <family val="2"/>
      <scheme val="minor"/>
    </font>
    <font>
      <sz val="10"/>
      <color theme="1"/>
      <name val="Calibri"/>
      <family val="2"/>
      <scheme val="minor"/>
    </font>
  </fonts>
  <fills count="4">
    <fill>
      <patternFill patternType="none"/>
    </fill>
    <fill>
      <patternFill patternType="gray125"/>
    </fill>
    <fill>
      <patternFill patternType="solid">
        <fgColor rgb="FFFFF6E5"/>
        <bgColor indexed="64"/>
      </patternFill>
    </fill>
    <fill>
      <patternFill patternType="solid">
        <fgColor rgb="FFE8F3EA"/>
        <bgColor indexed="64"/>
      </patternFill>
    </fill>
  </fills>
  <borders count="3">
    <border>
      <left/>
      <right/>
      <top/>
      <bottom/>
      <diagonal/>
    </border>
    <border>
      <left/>
      <right/>
      <top/>
      <bottom style="thin">
        <color rgb="FF9AA1A9"/>
      </bottom>
      <diagonal/>
    </border>
    <border>
      <left style="thin">
        <color rgb="FFC8872B"/>
      </left>
      <right style="thin">
        <color rgb="FFC8872B"/>
      </right>
      <top style="thin">
        <color rgb="FFC8872B"/>
      </top>
      <bottom style="thin">
        <color rgb="FFC8872B"/>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vertical="top" wrapText="1"/>
    </xf>
    <xf numFmtId="0" fontId="3" fillId="0" borderId="1" xfId="0" applyFont="1" applyBorder="1"/>
    <xf numFmtId="0" fontId="4" fillId="0" borderId="0" xfId="0" applyFont="1"/>
    <xf numFmtId="164" fontId="4" fillId="2" borderId="2" xfId="0" applyNumberFormat="1" applyFont="1" applyFill="1" applyBorder="1"/>
    <xf numFmtId="164" fontId="4" fillId="0" borderId="0" xfId="0" applyNumberFormat="1" applyFont="1"/>
    <xf numFmtId="165" fontId="4" fillId="0" borderId="0" xfId="0" applyNumberFormat="1" applyFont="1"/>
    <xf numFmtId="166" fontId="4" fillId="0" borderId="0" xfId="0" applyNumberFormat="1" applyFont="1"/>
    <xf numFmtId="167" fontId="4" fillId="0" borderId="0" xfId="0" applyNumberFormat="1" applyFont="1"/>
    <xf numFmtId="168" fontId="4" fillId="3" borderId="0" xfId="0" applyNumberFormat="1"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
  <sheetViews>
    <sheetView tabSelected="1" workbookViewId="0"/>
  </sheetViews>
  <sheetFormatPr defaultRowHeight="15"/>
  <cols>
    <col min="1" max="1" width="38.7109375" customWidth="1"/>
    <col min="2" max="2" width="16.7109375" customWidth="1"/>
    <col min="3" max="3" width="52.7109375" customWidth="1"/>
  </cols>
  <sheetData>
    <row r="1" spans="1:5">
      <c r="A1" s="1" t="s">
        <v>0</v>
      </c>
    </row>
    <row r="2" spans="1:5" ht="30" customHeight="1">
      <c r="A2" s="2" t="s">
        <v>1</v>
      </c>
    </row>
    <row r="4" spans="1:5">
      <c r="A4" s="3" t="s">
        <v>2</v>
      </c>
    </row>
    <row r="5" spans="1:5">
      <c r="A5" s="4" t="s">
        <v>3</v>
      </c>
      <c r="B5" s="5" t="s">
        <v>4</v>
      </c>
      <c r="C5" s="2" t="s">
        <v>5</v>
      </c>
    </row>
    <row r="6" spans="1:5">
      <c r="A6" s="4" t="s">
        <v>6</v>
      </c>
      <c r="B6" s="5" t="s">
        <v>7</v>
      </c>
      <c r="C6" s="2" t="s">
        <v>8</v>
      </c>
    </row>
    <row r="9" spans="1:5">
      <c r="A9" s="3" t="s">
        <v>9</v>
      </c>
    </row>
    <row r="10" spans="1:5">
      <c r="A10" s="4" t="s">
        <v>10</v>
      </c>
      <c r="B10" s="4" t="s">
        <v>11</v>
      </c>
      <c r="C10" s="4" t="s">
        <v>12</v>
      </c>
      <c r="D10" s="4" t="s">
        <v>13</v>
      </c>
      <c r="E10" s="4" t="s">
        <v>14</v>
      </c>
    </row>
    <row r="11" spans="1:5">
      <c r="A11" s="4" t="s">
        <v>4</v>
      </c>
      <c r="B11" s="6">
        <v>18</v>
      </c>
      <c r="C11" s="6">
        <v>3</v>
      </c>
      <c r="D11" s="6">
        <v>0.85</v>
      </c>
      <c r="E11" s="6">
        <v>0.92</v>
      </c>
    </row>
    <row r="12" spans="1:5">
      <c r="A12" s="4" t="s">
        <v>15</v>
      </c>
      <c r="B12" s="6">
        <v>26</v>
      </c>
      <c r="C12" s="6">
        <v>5</v>
      </c>
      <c r="D12" s="6">
        <v>0.82</v>
      </c>
      <c r="E12" s="6">
        <v>0.9</v>
      </c>
    </row>
    <row r="13" spans="1:5">
      <c r="A13" s="4" t="s">
        <v>16</v>
      </c>
      <c r="B13" s="6">
        <v>22</v>
      </c>
      <c r="C13" s="6">
        <v>8</v>
      </c>
      <c r="D13" s="6">
        <v>0.8</v>
      </c>
      <c r="E13" s="6">
        <v>0.88</v>
      </c>
    </row>
    <row r="15" spans="1:5">
      <c r="A15" s="3" t="s">
        <v>17</v>
      </c>
    </row>
    <row r="16" spans="1:5">
      <c r="A16" s="4" t="s">
        <v>10</v>
      </c>
      <c r="B16" s="4" t="s">
        <v>18</v>
      </c>
      <c r="C16" s="4" t="s">
        <v>19</v>
      </c>
      <c r="D16" s="4" t="s">
        <v>20</v>
      </c>
      <c r="E16" s="4" t="s">
        <v>21</v>
      </c>
    </row>
    <row r="17" spans="1:5">
      <c r="A17" s="4" t="s">
        <v>7</v>
      </c>
      <c r="B17" s="6">
        <v>0.081</v>
      </c>
      <c r="C17" s="6">
        <v>1.8</v>
      </c>
      <c r="D17" s="6">
        <v>4.5</v>
      </c>
      <c r="E17" s="6">
        <v>95</v>
      </c>
    </row>
    <row r="18" spans="1:5">
      <c r="A18" s="4" t="s">
        <v>22</v>
      </c>
      <c r="B18" s="6">
        <v>0.0541</v>
      </c>
      <c r="C18" s="6">
        <v>2.4</v>
      </c>
      <c r="D18" s="6">
        <v>36.92</v>
      </c>
      <c r="E18" s="6">
        <v>25</v>
      </c>
    </row>
    <row r="19" spans="1:5">
      <c r="A19" s="4" t="s">
        <v>23</v>
      </c>
      <c r="B19" s="6">
        <v>0.08890000000000001</v>
      </c>
      <c r="C19" s="6">
        <v>2.4</v>
      </c>
      <c r="D19" s="6">
        <v>36.92</v>
      </c>
      <c r="E19" s="6">
        <v>25</v>
      </c>
    </row>
    <row r="22" spans="1:5">
      <c r="A22" s="3" t="s">
        <v>24</v>
      </c>
    </row>
    <row r="23" spans="1:5">
      <c r="A23" s="4" t="s">
        <v>25</v>
      </c>
      <c r="B23" s="6">
        <f>VLOOKUP($B$5,$A$11:$E$13,2,FALSE)</f>
        <v>0</v>
      </c>
    </row>
    <row r="24" spans="1:5">
      <c r="A24" s="4" t="s">
        <v>26</v>
      </c>
      <c r="B24" s="6">
        <f>VLOOKUP($B$5,$A$11:$E$13,3,FALSE)</f>
        <v>0</v>
      </c>
    </row>
    <row r="25" spans="1:5">
      <c r="A25" s="4" t="s">
        <v>27</v>
      </c>
      <c r="B25" s="6">
        <f>VLOOKUP($B$5,$A$11:$E$13,4,FALSE)</f>
        <v>0</v>
      </c>
    </row>
    <row r="26" spans="1:5">
      <c r="A26" s="4" t="s">
        <v>28</v>
      </c>
      <c r="B26" s="6">
        <f>VLOOKUP($B$5,$A$11:$E$13,5,FALSE)</f>
        <v>0</v>
      </c>
    </row>
    <row r="27" spans="1:5">
      <c r="A27" s="4" t="s">
        <v>29</v>
      </c>
      <c r="B27" s="6">
        <f>VLOOKUP($B$6,$A$17:$E$19,2,FALSE)</f>
        <v>0</v>
      </c>
    </row>
    <row r="28" spans="1:5">
      <c r="A28" s="4" t="s">
        <v>30</v>
      </c>
      <c r="B28" s="6">
        <f>VLOOKUP($B$6,$A$17:$E$19,3,FALSE)</f>
        <v>0</v>
      </c>
    </row>
    <row r="29" spans="1:5">
      <c r="A29" s="4" t="s">
        <v>31</v>
      </c>
      <c r="B29" s="6">
        <f>VLOOKUP($B$6,$A$17:$E$19,4,FALSE)</f>
        <v>0</v>
      </c>
    </row>
    <row r="30" spans="1:5">
      <c r="A30" s="4" t="s">
        <v>32</v>
      </c>
      <c r="B30" s="6">
        <f>VLOOKUP($B$6,$A$17:$E$19,5,FALSE)</f>
        <v>0</v>
      </c>
    </row>
    <row r="32" spans="1:5">
      <c r="A32" s="3" t="s">
        <v>33</v>
      </c>
    </row>
    <row r="33" spans="1:3">
      <c r="A33" s="4" t="s">
        <v>34</v>
      </c>
      <c r="B33" s="5">
        <v>30</v>
      </c>
    </row>
    <row r="34" spans="1:3">
      <c r="A34" s="4" t="s">
        <v>35</v>
      </c>
      <c r="B34" s="7">
        <v>7000</v>
      </c>
    </row>
    <row r="35" spans="1:3">
      <c r="A35" s="4" t="s">
        <v>36</v>
      </c>
      <c r="B35" s="7">
        <v>3500</v>
      </c>
    </row>
    <row r="36" spans="1:3">
      <c r="A36" s="4" t="s">
        <v>37</v>
      </c>
      <c r="B36" s="5">
        <v>250</v>
      </c>
    </row>
    <row r="37" spans="1:3">
      <c r="A37" s="4" t="s">
        <v>38</v>
      </c>
      <c r="B37" s="5">
        <v>12</v>
      </c>
    </row>
    <row r="38" spans="1:3">
      <c r="A38" s="4" t="s">
        <v>39</v>
      </c>
      <c r="B38" s="5">
        <v>24</v>
      </c>
    </row>
    <row r="39" spans="1:3">
      <c r="A39" s="4" t="s">
        <v>40</v>
      </c>
      <c r="B39" s="7">
        <v>2000</v>
      </c>
    </row>
    <row r="40" spans="1:3">
      <c r="A40" s="4" t="s">
        <v>41</v>
      </c>
      <c r="B40" s="5">
        <v>0.04</v>
      </c>
    </row>
    <row r="41" spans="1:3">
      <c r="A41" s="4" t="s">
        <v>42</v>
      </c>
      <c r="B41" s="7">
        <v>1800000</v>
      </c>
    </row>
    <row r="42" spans="1:3">
      <c r="A42" s="4" t="s">
        <v>43</v>
      </c>
      <c r="B42" s="8">
        <v>38</v>
      </c>
    </row>
    <row r="43" spans="1:3">
      <c r="A43" s="4" t="s">
        <v>44</v>
      </c>
      <c r="B43" s="9">
        <v>0.14</v>
      </c>
    </row>
    <row r="44" spans="1:3">
      <c r="A44" s="4" t="s">
        <v>45</v>
      </c>
      <c r="B44" s="5">
        <v>10</v>
      </c>
    </row>
    <row r="45" spans="1:3">
      <c r="A45" s="4" t="s">
        <v>46</v>
      </c>
      <c r="B45" s="9">
        <v>0.25</v>
      </c>
    </row>
    <row r="47" spans="1:3">
      <c r="A47" s="3" t="s">
        <v>47</v>
      </c>
    </row>
    <row r="48" spans="1:3">
      <c r="A48" s="4" t="s">
        <v>48</v>
      </c>
      <c r="B48" s="6">
        <f>$B$25*$B$26</f>
        <v>0</v>
      </c>
      <c r="C48" s="2" t="s">
        <v>49</v>
      </c>
    </row>
    <row r="49" spans="1:3">
      <c r="A49" s="4" t="s">
        <v>50</v>
      </c>
      <c r="B49" s="6">
        <f>1-LOGNORM.DIST($B$33,LN($B$23^2/SQRT($B$24^2+$B$23^2)),SQRT(LN(1+($B$24/$B$23)^2)),TRUE)</f>
        <v>0</v>
      </c>
      <c r="C49" s="2" t="s">
        <v>51</v>
      </c>
    </row>
    <row r="50" spans="1:3">
      <c r="A50" s="4" t="s">
        <v>52</v>
      </c>
      <c r="B50" s="6">
        <f>1-$B$49</f>
        <v>0</v>
      </c>
    </row>
    <row r="51" spans="1:3">
      <c r="A51" s="4" t="s">
        <v>53</v>
      </c>
      <c r="B51" s="6">
        <f>$B$48*$B$50</f>
        <v>0</v>
      </c>
      <c r="C51" s="2" t="s">
        <v>54</v>
      </c>
    </row>
    <row r="52" spans="1:3">
      <c r="A52" s="4" t="s">
        <v>55</v>
      </c>
      <c r="B52" s="7">
        <f>$B$34*$B$51</f>
        <v>0</v>
      </c>
      <c r="C52" s="2" t="s">
        <v>56</v>
      </c>
    </row>
    <row r="53" spans="1:3">
      <c r="A53" s="4" t="s">
        <v>57</v>
      </c>
      <c r="B53" s="7">
        <f>$B$34*($B$36*$B$27+$B$37*$B$28)</f>
        <v>0</v>
      </c>
      <c r="C53" s="2" t="s">
        <v>58</v>
      </c>
    </row>
    <row r="54" spans="1:3">
      <c r="A54" s="4" t="s">
        <v>59</v>
      </c>
      <c r="B54" s="7">
        <f>$B$38*$B$39*$B$29</f>
        <v>0</v>
      </c>
      <c r="C54" s="2" t="s">
        <v>60</v>
      </c>
    </row>
    <row r="55" spans="1:3">
      <c r="A55" s="4" t="s">
        <v>61</v>
      </c>
      <c r="B55" s="7">
        <f>$B$42*1000000*$B$40</f>
        <v>0</v>
      </c>
    </row>
    <row r="56" spans="1:3">
      <c r="A56" s="4" t="s">
        <v>62</v>
      </c>
      <c r="B56" s="7">
        <f>$B$54+$B$55+$B$41</f>
        <v>0</v>
      </c>
      <c r="C56" s="2" t="s">
        <v>63</v>
      </c>
    </row>
    <row r="57" spans="1:3">
      <c r="A57" s="4" t="s">
        <v>64</v>
      </c>
      <c r="B57" s="7">
        <f>$B$52*$B$30</f>
        <v>0</v>
      </c>
    </row>
    <row r="58" spans="1:3">
      <c r="A58" s="4" t="s">
        <v>65</v>
      </c>
      <c r="B58" s="8">
        <f>($B$53+$B$56+$B$57)/$B$52</f>
        <v>0</v>
      </c>
    </row>
    <row r="59" spans="1:3">
      <c r="A59" s="4" t="s">
        <v>66</v>
      </c>
      <c r="B59" s="7">
        <f>$B$52*$B$35</f>
        <v>0</v>
      </c>
    </row>
    <row r="60" spans="1:3">
      <c r="A60" s="4" t="s">
        <v>67</v>
      </c>
      <c r="B60" s="7">
        <f>$B$59-$B$53-$B$56-$B$57</f>
        <v>0</v>
      </c>
    </row>
    <row r="61" spans="1:3">
      <c r="A61" s="4" t="s">
        <v>68</v>
      </c>
      <c r="B61" s="7">
        <f>$B$42*1000000/$B$44</f>
        <v>0</v>
      </c>
      <c r="C61" s="2" t="s">
        <v>69</v>
      </c>
    </row>
    <row r="62" spans="1:3">
      <c r="A62" s="4" t="s">
        <v>70</v>
      </c>
      <c r="B62" s="7">
        <f>$B$60-$B$61</f>
        <v>0</v>
      </c>
    </row>
    <row r="63" spans="1:3">
      <c r="A63" s="4" t="s">
        <v>71</v>
      </c>
      <c r="B63" s="7">
        <f>MAX(0,$B$62)*$B$45</f>
        <v>0</v>
      </c>
      <c r="C63" s="2" t="s">
        <v>72</v>
      </c>
    </row>
    <row r="64" spans="1:3">
      <c r="A64" s="4" t="s">
        <v>73</v>
      </c>
      <c r="B64" s="7">
        <f>$B$60-$B$63</f>
        <v>0</v>
      </c>
    </row>
    <row r="65" spans="1:3">
      <c r="A65" s="4" t="s">
        <v>74</v>
      </c>
      <c r="B65" s="8">
        <f>(-$B$42*1000000+$B$64*(1-(1+$B$43)^-$B$44)/$B$43)/1000000</f>
        <v>0</v>
      </c>
      <c r="C65" s="2" t="s">
        <v>75</v>
      </c>
    </row>
    <row r="66" spans="1:3">
      <c r="A66" s="4" t="s">
        <v>76</v>
      </c>
      <c r="B66" s="9">
        <f>RATE($B$44,$B$64,-$B$42*1000000)</f>
        <v>0</v>
      </c>
      <c r="C66" s="2" t="s">
        <v>77</v>
      </c>
    </row>
    <row r="67" spans="1:3">
      <c r="A67" s="4" t="s">
        <v>78</v>
      </c>
      <c r="B67" s="8">
        <f>$B$58+($B$42*1000000*$B$43/(1-(1+$B$43)^-$B$44))/$B$52/(1-$B$45)</f>
        <v>0</v>
      </c>
      <c r="C67" s="2" t="s">
        <v>79</v>
      </c>
    </row>
  </sheetData>
  <dataValidations count="2">
    <dataValidation type="list" allowBlank="1" showInputMessage="1" showErrorMessage="1" sqref="B5">
      <formula1>"Ore A, vein quartz, low Al,Ore B, pegmatite, moderate Al,Ore C, high variability"</formula1>
    </dataValidation>
    <dataValidation type="list" allowBlank="1" showInputMessage="1" showErrorMessage="1" sqref="B6">
      <formula1>"Site 1, India, Telangana,Site 2, US, low-cost power,Site 3, US, average power"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4"/>
  <sheetViews>
    <sheetView workbookViewId="0"/>
  </sheetViews>
  <sheetFormatPr defaultRowHeight="15"/>
  <cols>
    <col min="1" max="1" width="34.7109375" customWidth="1"/>
    <col min="2" max="4" width="18.7109375" customWidth="1"/>
    <col min="5" max="5" width="44.7109375" customWidth="1"/>
  </cols>
  <sheetData>
    <row r="1" spans="1:5">
      <c r="A1" s="1" t="s">
        <v>80</v>
      </c>
    </row>
    <row r="2" spans="1:5" ht="42" customHeight="1">
      <c r="A2" s="2" t="s">
        <v>81</v>
      </c>
    </row>
    <row r="4" spans="1:5">
      <c r="A4" s="3" t="s">
        <v>82</v>
      </c>
      <c r="B4" s="3" t="s">
        <v>83</v>
      </c>
      <c r="C4" s="3" t="s">
        <v>84</v>
      </c>
      <c r="D4" s="3" t="s">
        <v>85</v>
      </c>
      <c r="E4" s="3" t="s">
        <v>86</v>
      </c>
    </row>
    <row r="5" spans="1:5">
      <c r="A5" s="4" t="s">
        <v>87</v>
      </c>
      <c r="B5" s="6">
        <f>Model!$B$48</f>
        <v>0</v>
      </c>
      <c r="C5" s="6">
        <v>0.782</v>
      </c>
      <c r="D5" s="10">
        <f>IF($C$5=0,ABS($B$5),ABS($B$5-$C$5)/ABS($C$5))</f>
        <v>0</v>
      </c>
    </row>
    <row r="6" spans="1:5">
      <c r="A6" s="4" t="s">
        <v>88</v>
      </c>
      <c r="B6" s="6">
        <f>Model!$B$49</f>
        <v>0</v>
      </c>
      <c r="C6" s="6">
        <v>0.0007652657617395799</v>
      </c>
      <c r="D6" s="10">
        <f>IF($C$6=0,ABS($B$6),ABS($B$6-$C$6)/ABS($C$6))</f>
        <v>0</v>
      </c>
    </row>
    <row r="7" spans="1:5">
      <c r="A7" s="4" t="s">
        <v>53</v>
      </c>
      <c r="B7" s="6">
        <f>Model!$B$51</f>
        <v>0</v>
      </c>
      <c r="C7" s="6">
        <v>0.7814015621743197</v>
      </c>
      <c r="D7" s="10">
        <f>IF($C$7=0,ABS($B$7),ABS($B$7-$C$7)/ABS($C$7))</f>
        <v>0</v>
      </c>
    </row>
    <row r="8" spans="1:5">
      <c r="A8" s="4" t="s">
        <v>55</v>
      </c>
      <c r="B8" s="6">
        <f>Model!$B$52</f>
        <v>0</v>
      </c>
      <c r="C8" s="6">
        <v>5469.810935220237</v>
      </c>
      <c r="D8" s="10">
        <f>IF($C$8=0,ABS($B$8),ABS($B$8-$C$8)/ABS($C$8))</f>
        <v>0</v>
      </c>
    </row>
    <row r="9" spans="1:5">
      <c r="A9" s="4" t="s">
        <v>89</v>
      </c>
      <c r="B9" s="6">
        <f>Model!$B$58</f>
        <v>0</v>
      </c>
      <c r="C9" s="6">
        <v>795.0150545140973</v>
      </c>
      <c r="D9" s="10">
        <f>IF($C$9=0,ABS($B$9),ABS($B$9-$C$9)/ABS($C$9))</f>
        <v>0</v>
      </c>
    </row>
    <row r="11" spans="1:5">
      <c r="A11" s="3" t="s">
        <v>90</v>
      </c>
      <c r="D11" s="10">
        <f>MAX($D$5:$D$9)</f>
        <v>0</v>
      </c>
    </row>
    <row r="12" spans="1:5">
      <c r="A12" s="4" t="s">
        <v>91</v>
      </c>
      <c r="D12" s="4">
        <f>IF($D$11&lt;0.000001,"RECONCILED","DIVERGED")</f>
        <v>0</v>
      </c>
    </row>
    <row r="14" spans="1:5" ht="64" customHeight="1">
      <c r="A14" s="2"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3"/>
  <sheetViews>
    <sheetView workbookViewId="0"/>
  </sheetViews>
  <sheetFormatPr defaultRowHeight="15"/>
  <cols>
    <col min="1" max="1" width="34.7109375" customWidth="1"/>
    <col min="2" max="11" width="15.7109375" customWidth="1"/>
  </cols>
  <sheetData>
    <row r="1" spans="1:11">
      <c r="A1" s="1" t="s">
        <v>93</v>
      </c>
    </row>
    <row r="2" spans="1:11" ht="30" customHeight="1">
      <c r="A2" s="2" t="s">
        <v>94</v>
      </c>
    </row>
    <row r="4" spans="1:11">
      <c r="A4" s="3" t="s">
        <v>95</v>
      </c>
      <c r="B4" s="3" t="s">
        <v>96</v>
      </c>
      <c r="C4" s="3" t="s">
        <v>97</v>
      </c>
      <c r="D4" s="3" t="s">
        <v>98</v>
      </c>
      <c r="E4" s="3" t="s">
        <v>99</v>
      </c>
      <c r="F4" s="3" t="s">
        <v>100</v>
      </c>
      <c r="G4" s="3" t="s">
        <v>101</v>
      </c>
      <c r="H4" s="3" t="s">
        <v>102</v>
      </c>
      <c r="I4" s="3" t="s">
        <v>76</v>
      </c>
      <c r="J4" s="3" t="s">
        <v>103</v>
      </c>
      <c r="K4" s="3" t="s">
        <v>104</v>
      </c>
    </row>
    <row r="5" spans="1:11">
      <c r="A5" s="4" t="s">
        <v>4</v>
      </c>
      <c r="B5" s="4" t="s">
        <v>7</v>
      </c>
      <c r="C5" s="6">
        <v>0.782</v>
      </c>
      <c r="D5" s="6">
        <v>0.0007652657617395799</v>
      </c>
      <c r="E5" s="6">
        <v>0.7814015621743197</v>
      </c>
      <c r="F5" s="7">
        <v>5469.810935220237</v>
      </c>
      <c r="G5" s="8">
        <v>795.0150545140973</v>
      </c>
      <c r="H5" s="8">
        <v>24.83759155882604</v>
      </c>
      <c r="I5" s="9">
        <v>0.2926916656322361</v>
      </c>
      <c r="J5" s="8">
        <v>2126.891903335888</v>
      </c>
      <c r="K5" s="8">
        <v>2339.276730609375</v>
      </c>
    </row>
    <row r="6" spans="1:11">
      <c r="A6" s="4" t="s">
        <v>4</v>
      </c>
      <c r="B6" s="4" t="s">
        <v>22</v>
      </c>
      <c r="C6" s="6">
        <v>0.782</v>
      </c>
      <c r="D6" s="6">
        <v>0.0007652657617395799</v>
      </c>
      <c r="E6" s="6">
        <v>0.7814015621743197</v>
      </c>
      <c r="F6" s="7">
        <v>5469.810935220237</v>
      </c>
      <c r="G6" s="8">
        <v>1010.122715175354</v>
      </c>
      <c r="H6" s="8">
        <v>20.23463721340809</v>
      </c>
      <c r="I6" s="9">
        <v>0.2660260942348871</v>
      </c>
      <c r="J6" s="8">
        <v>2341.999563997145</v>
      </c>
      <c r="K6" s="8">
        <v>2554.384391266563</v>
      </c>
    </row>
    <row r="7" spans="1:11">
      <c r="A7" s="4" t="s">
        <v>4</v>
      </c>
      <c r="B7" s="4" t="s">
        <v>23</v>
      </c>
      <c r="C7" s="6">
        <v>0.782</v>
      </c>
      <c r="D7" s="6">
        <v>0.0007652657617395799</v>
      </c>
      <c r="E7" s="6">
        <v>0.7814015621743197</v>
      </c>
      <c r="F7" s="7">
        <v>5469.810935220237</v>
      </c>
      <c r="G7" s="8">
        <v>1021.256555215027</v>
      </c>
      <c r="H7" s="8">
        <v>19.99639113126364</v>
      </c>
      <c r="I7" s="9">
        <v>0.2646311233036944</v>
      </c>
      <c r="J7" s="8">
        <v>2353.133404036818</v>
      </c>
      <c r="K7" s="8">
        <v>2565.518231305278</v>
      </c>
    </row>
    <row r="8" spans="1:11">
      <c r="A8" s="4" t="s">
        <v>15</v>
      </c>
      <c r="B8" s="4" t="s">
        <v>7</v>
      </c>
      <c r="C8" s="6">
        <v>0.738</v>
      </c>
      <c r="D8" s="6">
        <v>0.1987167736277139</v>
      </c>
      <c r="E8" s="6">
        <v>0.5913470210627471</v>
      </c>
      <c r="F8" s="7">
        <v>4139.429147439229</v>
      </c>
      <c r="G8" s="8">
        <v>1019.994694586982</v>
      </c>
      <c r="H8" s="8">
        <v>7.11603430419481</v>
      </c>
      <c r="I8" s="9">
        <v>0.1864235946732936</v>
      </c>
      <c r="J8" s="8">
        <v>2779.926871843569</v>
      </c>
      <c r="K8" s="8">
        <v>3060.57060538757</v>
      </c>
    </row>
    <row r="9" spans="1:11">
      <c r="A9" s="4" t="s">
        <v>15</v>
      </c>
      <c r="B9" s="4" t="s">
        <v>22</v>
      </c>
      <c r="C9" s="6">
        <v>0.738</v>
      </c>
      <c r="D9" s="6">
        <v>0.1987167736277139</v>
      </c>
      <c r="E9" s="6">
        <v>0.5913470210627471</v>
      </c>
      <c r="F9" s="7">
        <v>4139.429147439229</v>
      </c>
      <c r="G9" s="8">
        <v>1326.733840119825</v>
      </c>
      <c r="H9" s="8">
        <v>2.148760132690474</v>
      </c>
      <c r="I9" s="9">
        <v>0.1543345487249087</v>
      </c>
      <c r="J9" s="8">
        <v>3086.666017376412</v>
      </c>
      <c r="K9" s="8">
        <v>3367.309750921095</v>
      </c>
    </row>
    <row r="10" spans="1:11">
      <c r="A10" s="4" t="s">
        <v>15</v>
      </c>
      <c r="B10" s="4" t="s">
        <v>23</v>
      </c>
      <c r="C10" s="6">
        <v>0.738</v>
      </c>
      <c r="D10" s="6">
        <v>0.1987167736277139</v>
      </c>
      <c r="E10" s="6">
        <v>0.5913470210627471</v>
      </c>
      <c r="F10" s="7">
        <v>4139.429147439229</v>
      </c>
      <c r="G10" s="8">
        <v>1341.446013666188</v>
      </c>
      <c r="H10" s="8">
        <v>1.910514050546018</v>
      </c>
      <c r="I10" s="9">
        <v>0.1527599203982868</v>
      </c>
      <c r="J10" s="8">
        <v>3101.378190922775</v>
      </c>
      <c r="K10" s="8">
        <v>3382.02192446857</v>
      </c>
    </row>
    <row r="11" spans="1:11">
      <c r="A11" s="4" t="s">
        <v>16</v>
      </c>
      <c r="B11" s="4" t="s">
        <v>7</v>
      </c>
      <c r="C11" s="6">
        <v>0.7040000000000001</v>
      </c>
      <c r="D11" s="6">
        <v>0.1454135960007397</v>
      </c>
      <c r="E11" s="6">
        <v>0.6016288284154794</v>
      </c>
      <c r="F11" s="7">
        <v>4211.401798908356</v>
      </c>
      <c r="G11" s="8">
        <v>1004.186580343036</v>
      </c>
      <c r="H11" s="8">
        <v>8.074757187725215</v>
      </c>
      <c r="I11" s="9">
        <v>0.1924701162842212</v>
      </c>
      <c r="J11" s="8">
        <v>2734.041602473789</v>
      </c>
      <c r="K11" s="8">
        <v>3009.889148292725</v>
      </c>
    </row>
    <row r="12" spans="1:11">
      <c r="A12" s="4" t="s">
        <v>16</v>
      </c>
      <c r="B12" s="4" t="s">
        <v>22</v>
      </c>
      <c r="C12" s="6">
        <v>0.7040000000000001</v>
      </c>
      <c r="D12" s="6">
        <v>0.1454135960007397</v>
      </c>
      <c r="E12" s="6">
        <v>0.6016288284154794</v>
      </c>
      <c r="F12" s="7">
        <v>4211.401798908356</v>
      </c>
      <c r="G12" s="8">
        <v>1304.487272241928</v>
      </c>
      <c r="H12" s="8">
        <v>3.127192444076132</v>
      </c>
      <c r="I12" s="9">
        <v>0.1607648048133609</v>
      </c>
      <c r="J12" s="8">
        <v>3034.34229437268</v>
      </c>
      <c r="K12" s="8">
        <v>3310.189840188164</v>
      </c>
    </row>
    <row r="13" spans="1:11">
      <c r="A13" s="4" t="s">
        <v>16</v>
      </c>
      <c r="B13" s="4" t="s">
        <v>23</v>
      </c>
      <c r="C13" s="6">
        <v>0.7040000000000001</v>
      </c>
      <c r="D13" s="6">
        <v>0.1454135960007397</v>
      </c>
      <c r="E13" s="6">
        <v>0.6016288284154794</v>
      </c>
      <c r="F13" s="7">
        <v>4211.401798908356</v>
      </c>
      <c r="G13" s="8">
        <v>1318.948015459491</v>
      </c>
      <c r="H13" s="8">
        <v>2.888946361931676</v>
      </c>
      <c r="I13" s="9">
        <v>0.1592043600072956</v>
      </c>
      <c r="J13" s="8">
        <v>3048.803037590244</v>
      </c>
      <c r="K13" s="8">
        <v>3324.650583410267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cols>
    <col min="1" max="1" width="30.7109375" customWidth="1"/>
    <col min="2" max="2" width="100.7109375" customWidth="1"/>
  </cols>
  <sheetData>
    <row r="1" spans="1:2">
      <c r="A1" s="1" t="s">
        <v>105</v>
      </c>
    </row>
    <row r="3" spans="1:2" ht="26" customHeight="1">
      <c r="A3" s="3" t="s">
        <v>106</v>
      </c>
      <c r="B3" s="2" t="s">
        <v>107</v>
      </c>
    </row>
    <row r="4" spans="1:2" ht="26" customHeight="1">
      <c r="A4" s="4" t="s">
        <v>108</v>
      </c>
      <c r="B4" s="2" t="s">
        <v>109</v>
      </c>
    </row>
    <row r="5" spans="1:2" ht="26" customHeight="1">
      <c r="A5" s="4" t="s">
        <v>110</v>
      </c>
      <c r="B5" s="2" t="s">
        <v>111</v>
      </c>
    </row>
    <row r="6" spans="1:2" ht="26" customHeight="1">
      <c r="A6" s="4" t="s">
        <v>112</v>
      </c>
      <c r="B6" s="2" t="s">
        <v>113</v>
      </c>
    </row>
    <row r="7" spans="1:2" ht="26" customHeight="1">
      <c r="A7" s="4" t="s">
        <v>114</v>
      </c>
      <c r="B7" s="2" t="s">
        <v>115</v>
      </c>
    </row>
    <row r="8" spans="1:2" ht="26" customHeight="1">
      <c r="A8" s="4" t="s">
        <v>116</v>
      </c>
      <c r="B8" s="2" t="s">
        <v>117</v>
      </c>
    </row>
    <row r="9" spans="1:2" ht="26" customHeight="1">
      <c r="A9" s="4" t="s">
        <v>118</v>
      </c>
      <c r="B9" s="2" t="s">
        <v>119</v>
      </c>
    </row>
    <row r="10" spans="1:2" ht="26" customHeight="1">
      <c r="A10" s="4" t="s">
        <v>120</v>
      </c>
      <c r="B10" s="2" t="s">
        <v>121</v>
      </c>
    </row>
    <row r="11" spans="1:2" ht="26" customHeight="1">
      <c r="A11" s="4" t="s">
        <v>122</v>
      </c>
      <c r="B11" s="2"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Model</vt:lpstr>
      <vt:lpstr>Reconciliation</vt:lpstr>
      <vt:lpstr>Scenario grid</vt:lpstr>
      <vt:lpstr>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2026-09-17T00:41:41Z</dcterms:created>
  <dcterms:modified xsi:type="dcterms:W3CDTF">2026-09-17T00:41:41Z</dcterms:modified>
</cp:coreProperties>
</file>